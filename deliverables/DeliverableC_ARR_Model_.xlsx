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s\Claude\Projects\Expansion &amp;  Monetization Product Strategy\marketpulse-strategy\deliverables\"/>
    </mc:Choice>
  </mc:AlternateContent>
  <xr:revisionPtr revIDLastSave="0" documentId="8_{2497E2A3-3E5F-4543-AF17-90CA43E655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ssumptions" sheetId="1" r:id="rId1"/>
    <sheet name="ARR Build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1" i="2" l="1"/>
  <c r="B41" i="2"/>
  <c r="B40" i="2"/>
  <c r="C40" i="2" s="1"/>
  <c r="B39" i="2"/>
  <c r="C39" i="2" s="1"/>
  <c r="B38" i="2"/>
  <c r="C38" i="2" s="1"/>
  <c r="B37" i="2"/>
  <c r="C37" i="2" s="1"/>
  <c r="E37" i="2" s="1"/>
  <c r="B33" i="2"/>
  <c r="B32" i="2"/>
  <c r="C32" i="2" s="1"/>
  <c r="B31" i="2"/>
  <c r="C31" i="2" s="1"/>
  <c r="B30" i="2"/>
  <c r="B29" i="2"/>
  <c r="B25" i="2"/>
  <c r="C25" i="2" s="1"/>
  <c r="B24" i="2"/>
  <c r="C24" i="2" s="1"/>
  <c r="B23" i="2"/>
  <c r="B22" i="2"/>
  <c r="C22" i="2" s="1"/>
  <c r="B21" i="2"/>
  <c r="B17" i="2"/>
  <c r="C17" i="2" s="1"/>
  <c r="B16" i="2"/>
  <c r="B15" i="2"/>
  <c r="B14" i="2"/>
  <c r="C14" i="2" s="1"/>
  <c r="B13" i="2"/>
  <c r="C13" i="2" s="1"/>
  <c r="E13" i="2" s="1"/>
  <c r="B9" i="2"/>
  <c r="C9" i="2" s="1"/>
  <c r="B8" i="2"/>
  <c r="B7" i="2"/>
  <c r="C7" i="2" s="1"/>
  <c r="B6" i="2"/>
  <c r="C6" i="2" s="1"/>
  <c r="B5" i="2"/>
  <c r="C5" i="2" s="1"/>
  <c r="H16" i="1"/>
  <c r="H15" i="1"/>
  <c r="C33" i="2" s="1"/>
  <c r="H14" i="1"/>
  <c r="C21" i="2" s="1"/>
  <c r="E21" i="2" s="1"/>
  <c r="H13" i="1"/>
  <c r="C15" i="2" s="1"/>
  <c r="H12" i="1"/>
  <c r="C8" i="2" s="1"/>
  <c r="E5" i="2" l="1"/>
  <c r="E14" i="2"/>
  <c r="D14" i="2"/>
  <c r="E38" i="2"/>
  <c r="D38" i="2"/>
  <c r="E22" i="2"/>
  <c r="D22" i="2"/>
  <c r="C23" i="2"/>
  <c r="E55" i="2" s="1"/>
  <c r="C29" i="2"/>
  <c r="E29" i="2" s="1"/>
  <c r="C30" i="2"/>
  <c r="C16" i="2"/>
  <c r="E30" i="2" l="1"/>
  <c r="D30" i="2"/>
  <c r="E23" i="2"/>
  <c r="D23" i="2"/>
  <c r="E39" i="2"/>
  <c r="D39" i="2"/>
  <c r="E15" i="2"/>
  <c r="D15" i="2"/>
  <c r="E6" i="2"/>
  <c r="D6" i="2"/>
  <c r="E46" i="2"/>
  <c r="D31" i="2" l="1"/>
  <c r="E31" i="2"/>
  <c r="E47" i="2"/>
  <c r="E7" i="2"/>
  <c r="D7" i="2"/>
  <c r="D16" i="2"/>
  <c r="E16" i="2"/>
  <c r="E40" i="2"/>
  <c r="D40" i="2"/>
  <c r="E24" i="2"/>
  <c r="D24" i="2"/>
  <c r="D25" i="2" l="1"/>
  <c r="E25" i="2"/>
  <c r="E41" i="2"/>
  <c r="D41" i="2"/>
  <c r="E8" i="2"/>
  <c r="D8" i="2"/>
  <c r="E48" i="2"/>
  <c r="E53" i="2" s="1"/>
  <c r="E32" i="2"/>
  <c r="D32" i="2"/>
  <c r="E17" i="2"/>
  <c r="D17" i="2"/>
  <c r="E33" i="2" l="1"/>
  <c r="D33" i="2"/>
  <c r="E9" i="2"/>
  <c r="D9" i="2"/>
  <c r="E49" i="2"/>
  <c r="E50" i="2" l="1"/>
  <c r="E54" i="2" s="1"/>
</calcChain>
</file>

<file path=xl/sharedStrings.xml><?xml version="1.0" encoding="utf-8"?>
<sst xmlns="http://schemas.openxmlformats.org/spreadsheetml/2006/main" count="60" uniqueCount="34">
  <si>
    <t>ARR Model — Assumptions (blue = editable input)</t>
  </si>
  <si>
    <t>Essentials ACV — US benchmark ($)</t>
  </si>
  <si>
    <t>Growth ACV — US benchmark ($)</t>
  </si>
  <si>
    <t>Enterprise ACV — US benchmark ($)</t>
  </si>
  <si>
    <t>Annual capture rate (% of addressable)</t>
  </si>
  <si>
    <t>Entry-year ramp (fraction)</t>
  </si>
  <si>
    <t>Net revenue retention (NRR)</t>
  </si>
  <si>
    <t>Market</t>
  </si>
  <si>
    <t>Accts</t>
  </si>
  <si>
    <t>Price idx</t>
  </si>
  <si>
    <t>Mix E</t>
  </si>
  <si>
    <t>Mix G</t>
  </si>
  <si>
    <t>Mix Ent</t>
  </si>
  <si>
    <t>Entry yr</t>
  </si>
  <si>
    <t>Blended ACV</t>
  </si>
  <si>
    <t>SEA</t>
  </si>
  <si>
    <t>India</t>
  </si>
  <si>
    <t>US</t>
  </si>
  <si>
    <t>W. Europe</t>
  </si>
  <si>
    <t>Japan/Korea</t>
  </si>
  <si>
    <t>Note: Ai Palette is private — all values are illustrative, benchmark-anchored assumptions, not reported figures.</t>
  </si>
  <si>
    <t>5-Year ARR Build (live formulas → Assumptions)</t>
  </si>
  <si>
    <t>Year</t>
  </si>
  <si>
    <t>New logos</t>
  </si>
  <si>
    <t>New ARR</t>
  </si>
  <si>
    <t>Expansion ARR</t>
  </si>
  <si>
    <t>End ARR</t>
  </si>
  <si>
    <t>TOTAL ARR (all markets)</t>
  </si>
  <si>
    <t>Total End ARR</t>
  </si>
  <si>
    <t>Key outputs</t>
  </si>
  <si>
    <t>Year-3 total ARR</t>
  </si>
  <si>
    <t>Year-5 total ARR</t>
  </si>
  <si>
    <t>3-yr cumulative new ARR</t>
  </si>
  <si>
    <t>Tie-out: realistic ramp sits below the 3-yr SOM outer bound (~$30–60M). Raise capture rate / NRR on Assumptions to approach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</si>
</sst>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\Y0"/>
  </numFmts>
  <fonts count="12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9.5"/>
      <color rgb="FFFFFFFF"/>
      <name val="Arial"/>
      <charset val="1"/>
    </font>
    <font>
      <sz val="10"/>
      <color rgb="FF000000"/>
      <name val="Arial"/>
      <charset val="1"/>
    </font>
    <font>
      <sz val="8.5"/>
      <color rgb="FFC00000"/>
      <name val="Arial"/>
      <charset val="1"/>
    </font>
    <font>
      <b/>
      <sz val="11"/>
      <color rgb="FFFFFFFF"/>
      <name val="Arial"/>
      <charset val="1"/>
    </font>
    <font>
      <b/>
      <sz val="9.5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color rgb="FF2E5496"/>
      <name val="Arial"/>
      <charset val="1"/>
    </font>
    <font>
      <sz val="8.5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1" fillId="0" borderId="0" xfId="0" applyFont="1"/>
    <xf numFmtId="0" fontId="7" fillId="6" borderId="0" xfId="0" applyFont="1" applyFill="1"/>
    <xf numFmtId="0" fontId="7" fillId="3" borderId="0" xfId="0" applyFont="1" applyFill="1" applyAlignment="1">
      <alignment horizontal="left" vertical="center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164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2" fillId="0" borderId="1" xfId="0" applyFont="1" applyBorder="1"/>
    <xf numFmtId="3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164" fontId="2" fillId="4" borderId="1" xfId="0" applyNumberFormat="1" applyFont="1" applyFill="1" applyBorder="1"/>
    <xf numFmtId="166" fontId="2" fillId="0" borderId="1" xfId="0" applyNumberFormat="1" applyFont="1" applyBorder="1" applyAlignment="1">
      <alignment horizontal="center"/>
    </xf>
    <xf numFmtId="164" fontId="2" fillId="7" borderId="1" xfId="0" applyNumberFormat="1" applyFont="1" applyFill="1" applyBorder="1"/>
    <xf numFmtId="0" fontId="9" fillId="0" borderId="0" xfId="0" applyFont="1"/>
    <xf numFmtId="164" fontId="1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4" customWidth="1"/>
    <col min="2" max="2" width="12" customWidth="1"/>
    <col min="3" max="7" width="8" customWidth="1"/>
    <col min="8" max="8" width="16" customWidth="1"/>
  </cols>
  <sheetData>
    <row r="1" spans="1:8" ht="24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25">
      <c r="A3" s="7" t="s">
        <v>1</v>
      </c>
      <c r="B3" s="8">
        <v>8000</v>
      </c>
    </row>
    <row r="4" spans="1:8" x14ac:dyDescent="0.25">
      <c r="A4" s="7" t="s">
        <v>2</v>
      </c>
      <c r="B4" s="8">
        <v>35000</v>
      </c>
    </row>
    <row r="5" spans="1:8" x14ac:dyDescent="0.25">
      <c r="A5" s="7" t="s">
        <v>3</v>
      </c>
      <c r="B5" s="8">
        <v>120000</v>
      </c>
    </row>
    <row r="6" spans="1:8" x14ac:dyDescent="0.25">
      <c r="A6" s="7" t="s">
        <v>4</v>
      </c>
      <c r="B6" s="9">
        <v>0.04</v>
      </c>
    </row>
    <row r="7" spans="1:8" x14ac:dyDescent="0.25">
      <c r="A7" s="7" t="s">
        <v>5</v>
      </c>
      <c r="B7" s="10">
        <v>0.5</v>
      </c>
    </row>
    <row r="8" spans="1:8" x14ac:dyDescent="0.25">
      <c r="A8" s="7" t="s">
        <v>6</v>
      </c>
      <c r="B8" s="11">
        <v>1.1200000000000001</v>
      </c>
    </row>
    <row r="11" spans="1:8" ht="25.5" customHeight="1" x14ac:dyDescent="0.25">
      <c r="A11" s="12" t="s">
        <v>7</v>
      </c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  <c r="G11" s="12" t="s">
        <v>13</v>
      </c>
      <c r="H11" s="12" t="s">
        <v>14</v>
      </c>
    </row>
    <row r="12" spans="1:8" x14ac:dyDescent="0.25">
      <c r="A12" s="13" t="s">
        <v>15</v>
      </c>
      <c r="B12" s="14">
        <v>400</v>
      </c>
      <c r="C12" s="11">
        <v>0.55000000000000004</v>
      </c>
      <c r="D12" s="9">
        <v>0.4</v>
      </c>
      <c r="E12" s="9">
        <v>0.45</v>
      </c>
      <c r="F12" s="9">
        <v>0.15</v>
      </c>
      <c r="G12" s="15">
        <v>1</v>
      </c>
      <c r="H12" s="16">
        <f>C12*(D12*$B$3+E12*$B$4+F12*$B$5)</f>
        <v>20322.5</v>
      </c>
    </row>
    <row r="13" spans="1:8" x14ac:dyDescent="0.25">
      <c r="A13" s="13" t="s">
        <v>16</v>
      </c>
      <c r="B13" s="14">
        <v>500</v>
      </c>
      <c r="C13" s="11">
        <v>0.45</v>
      </c>
      <c r="D13" s="9">
        <v>0.55000000000000004</v>
      </c>
      <c r="E13" s="9">
        <v>0.35</v>
      </c>
      <c r="F13" s="9">
        <v>0.1</v>
      </c>
      <c r="G13" s="15">
        <v>1</v>
      </c>
      <c r="H13" s="16">
        <f>C13*(D13*$B$3+E13*$B$4+F13*$B$5)</f>
        <v>12892.5</v>
      </c>
    </row>
    <row r="14" spans="1:8" x14ac:dyDescent="0.25">
      <c r="A14" s="13" t="s">
        <v>17</v>
      </c>
      <c r="B14" s="14">
        <v>1200</v>
      </c>
      <c r="C14" s="11">
        <v>1</v>
      </c>
      <c r="D14" s="9">
        <v>0.1</v>
      </c>
      <c r="E14" s="9">
        <v>0.35</v>
      </c>
      <c r="F14" s="9">
        <v>0.55000000000000004</v>
      </c>
      <c r="G14" s="15">
        <v>2</v>
      </c>
      <c r="H14" s="16">
        <f>C14*(D14*$B$3+E14*$B$4+F14*$B$5)</f>
        <v>79050</v>
      </c>
    </row>
    <row r="15" spans="1:8" x14ac:dyDescent="0.25">
      <c r="A15" s="13" t="s">
        <v>18</v>
      </c>
      <c r="B15" s="14">
        <v>900</v>
      </c>
      <c r="C15" s="11">
        <v>0.9</v>
      </c>
      <c r="D15" s="9">
        <v>0.15</v>
      </c>
      <c r="E15" s="9">
        <v>0.4</v>
      </c>
      <c r="F15" s="9">
        <v>0.45</v>
      </c>
      <c r="G15" s="15">
        <v>3</v>
      </c>
      <c r="H15" s="16">
        <f>C15*(D15*$B$3+E15*$B$4+F15*$B$5)</f>
        <v>62280</v>
      </c>
    </row>
    <row r="16" spans="1:8" x14ac:dyDescent="0.25">
      <c r="A16" s="13" t="s">
        <v>19</v>
      </c>
      <c r="B16" s="14">
        <v>500</v>
      </c>
      <c r="C16" s="11">
        <v>0.82</v>
      </c>
      <c r="D16" s="9">
        <v>0.15</v>
      </c>
      <c r="E16" s="9">
        <v>0.4</v>
      </c>
      <c r="F16" s="9">
        <v>0.45</v>
      </c>
      <c r="G16" s="15">
        <v>3</v>
      </c>
      <c r="H16" s="16">
        <f>C16*(D16*$B$3+E16*$B$4+F16*$B$5)</f>
        <v>56744</v>
      </c>
    </row>
    <row r="18" spans="1:8" x14ac:dyDescent="0.25">
      <c r="A18" s="5" t="s">
        <v>20</v>
      </c>
      <c r="B18" s="5"/>
      <c r="C18" s="5"/>
      <c r="D18" s="5"/>
      <c r="E18" s="5"/>
      <c r="F18" s="5"/>
      <c r="G18" s="5"/>
      <c r="H18" s="5"/>
    </row>
  </sheetData>
  <mergeCells count="2">
    <mergeCell ref="A1:H1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14" customWidth="1"/>
    <col min="3" max="5" width="16" customWidth="1"/>
  </cols>
  <sheetData>
    <row r="1" spans="1:5" ht="24" customHeight="1" x14ac:dyDescent="0.3">
      <c r="A1" s="4" t="s">
        <v>21</v>
      </c>
      <c r="B1" s="4"/>
      <c r="C1" s="4"/>
      <c r="D1" s="4"/>
      <c r="E1" s="4"/>
    </row>
    <row r="3" spans="1:5" x14ac:dyDescent="0.25">
      <c r="A3" s="3" t="s">
        <v>15</v>
      </c>
      <c r="B3" s="3"/>
      <c r="C3" s="3"/>
      <c r="D3" s="3"/>
      <c r="E3" s="3"/>
    </row>
    <row r="4" spans="1:5" x14ac:dyDescent="0.25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</row>
    <row r="5" spans="1:5" x14ac:dyDescent="0.25">
      <c r="A5" s="18">
        <v>1</v>
      </c>
      <c r="B5" s="19">
        <f>IF(A5&lt;Assumptions!$G$12,0,IF(A5=Assumptions!$G$12,Assumptions!$B$12*Assumptions!$B$6*Assumptions!$B$7,Assumptions!$B$12*Assumptions!$B$6))</f>
        <v>8</v>
      </c>
      <c r="C5" s="20">
        <f>B5*Assumptions!$H$12</f>
        <v>162580</v>
      </c>
      <c r="D5" s="20">
        <v>0</v>
      </c>
      <c r="E5" s="21">
        <f>C5</f>
        <v>162580</v>
      </c>
    </row>
    <row r="6" spans="1:5" x14ac:dyDescent="0.25">
      <c r="A6" s="18">
        <v>2</v>
      </c>
      <c r="B6" s="19">
        <f>IF(A6&lt;Assumptions!$G$12,0,IF(A6=Assumptions!$G$12,Assumptions!$B$12*Assumptions!$B$6*Assumptions!$B$7,Assumptions!$B$12*Assumptions!$B$6))</f>
        <v>16</v>
      </c>
      <c r="C6" s="20">
        <f>B6*Assumptions!$H$12</f>
        <v>325160</v>
      </c>
      <c r="D6" s="20">
        <f>E5*(Assumptions!$B$8-1)</f>
        <v>19509.600000000017</v>
      </c>
      <c r="E6" s="21">
        <f>E5*Assumptions!$B$8+C6</f>
        <v>507249.6</v>
      </c>
    </row>
    <row r="7" spans="1:5" x14ac:dyDescent="0.25">
      <c r="A7" s="18">
        <v>3</v>
      </c>
      <c r="B7" s="19">
        <f>IF(A7&lt;Assumptions!$G$12,0,IF(A7=Assumptions!$G$12,Assumptions!$B$12*Assumptions!$B$6*Assumptions!$B$7,Assumptions!$B$12*Assumptions!$B$6))</f>
        <v>16</v>
      </c>
      <c r="C7" s="20">
        <f>B7*Assumptions!$H$12</f>
        <v>325160</v>
      </c>
      <c r="D7" s="20">
        <f>E6*(Assumptions!$B$8-1)</f>
        <v>60869.952000000048</v>
      </c>
      <c r="E7" s="21">
        <f>E6*Assumptions!$B$8+C7</f>
        <v>893279.55200000003</v>
      </c>
    </row>
    <row r="8" spans="1:5" x14ac:dyDescent="0.25">
      <c r="A8" s="18">
        <v>4</v>
      </c>
      <c r="B8" s="19">
        <f>IF(A8&lt;Assumptions!$G$12,0,IF(A8=Assumptions!$G$12,Assumptions!$B$12*Assumptions!$B$6*Assumptions!$B$7,Assumptions!$B$12*Assumptions!$B$6))</f>
        <v>16</v>
      </c>
      <c r="C8" s="20">
        <f>B8*Assumptions!$H$12</f>
        <v>325160</v>
      </c>
      <c r="D8" s="20">
        <f>E7*(Assumptions!$B$8-1)</f>
        <v>107193.5462400001</v>
      </c>
      <c r="E8" s="21">
        <f>E7*Assumptions!$B$8+C8</f>
        <v>1325633.0982400002</v>
      </c>
    </row>
    <row r="9" spans="1:5" x14ac:dyDescent="0.25">
      <c r="A9" s="18">
        <v>5</v>
      </c>
      <c r="B9" s="19">
        <f>IF(A9&lt;Assumptions!$G$12,0,IF(A9=Assumptions!$G$12,Assumptions!$B$12*Assumptions!$B$6*Assumptions!$B$7,Assumptions!$B$12*Assumptions!$B$6))</f>
        <v>16</v>
      </c>
      <c r="C9" s="20">
        <f>B9*Assumptions!$H$12</f>
        <v>325160</v>
      </c>
      <c r="D9" s="20">
        <f>E8*(Assumptions!$B$8-1)</f>
        <v>159075.97178880018</v>
      </c>
      <c r="E9" s="21">
        <f>E8*Assumptions!$B$8+C9</f>
        <v>1809869.0700288003</v>
      </c>
    </row>
    <row r="11" spans="1:5" x14ac:dyDescent="0.25">
      <c r="A11" s="3" t="s">
        <v>16</v>
      </c>
      <c r="B11" s="3"/>
      <c r="C11" s="3"/>
      <c r="D11" s="3"/>
      <c r="E11" s="3"/>
    </row>
    <row r="12" spans="1:5" x14ac:dyDescent="0.25">
      <c r="A12" s="17" t="s">
        <v>22</v>
      </c>
      <c r="B12" s="17" t="s">
        <v>23</v>
      </c>
      <c r="C12" s="17" t="s">
        <v>24</v>
      </c>
      <c r="D12" s="17" t="s">
        <v>25</v>
      </c>
      <c r="E12" s="17" t="s">
        <v>26</v>
      </c>
    </row>
    <row r="13" spans="1:5" x14ac:dyDescent="0.25">
      <c r="A13" s="18">
        <v>1</v>
      </c>
      <c r="B13" s="19">
        <f>IF(A13&lt;Assumptions!$G$13,0,IF(A13=Assumptions!$G$13,Assumptions!$B$13*Assumptions!$B$6*Assumptions!$B$7,Assumptions!$B$13*Assumptions!$B$6))</f>
        <v>10</v>
      </c>
      <c r="C13" s="20">
        <f>B13*Assumptions!$H$13</f>
        <v>128925</v>
      </c>
      <c r="D13" s="20">
        <v>0</v>
      </c>
      <c r="E13" s="21">
        <f>C13</f>
        <v>128925</v>
      </c>
    </row>
    <row r="14" spans="1:5" x14ac:dyDescent="0.25">
      <c r="A14" s="18">
        <v>2</v>
      </c>
      <c r="B14" s="19">
        <f>IF(A14&lt;Assumptions!$G$13,0,IF(A14=Assumptions!$G$13,Assumptions!$B$13*Assumptions!$B$6*Assumptions!$B$7,Assumptions!$B$13*Assumptions!$B$6))</f>
        <v>20</v>
      </c>
      <c r="C14" s="20">
        <f>B14*Assumptions!$H$13</f>
        <v>257850</v>
      </c>
      <c r="D14" s="20">
        <f>E13*(Assumptions!$B$8-1)</f>
        <v>15471.000000000015</v>
      </c>
      <c r="E14" s="21">
        <f>E13*Assumptions!$B$8+C14</f>
        <v>402246</v>
      </c>
    </row>
    <row r="15" spans="1:5" x14ac:dyDescent="0.25">
      <c r="A15" s="18">
        <v>3</v>
      </c>
      <c r="B15" s="19">
        <f>IF(A15&lt;Assumptions!$G$13,0,IF(A15=Assumptions!$G$13,Assumptions!$B$13*Assumptions!$B$6*Assumptions!$B$7,Assumptions!$B$13*Assumptions!$B$6))</f>
        <v>20</v>
      </c>
      <c r="C15" s="20">
        <f>B15*Assumptions!$H$13</f>
        <v>257850</v>
      </c>
      <c r="D15" s="20">
        <f>E14*(Assumptions!$B$8-1)</f>
        <v>48269.52000000004</v>
      </c>
      <c r="E15" s="21">
        <f>E14*Assumptions!$B$8+C15</f>
        <v>708365.52</v>
      </c>
    </row>
    <row r="16" spans="1:5" x14ac:dyDescent="0.25">
      <c r="A16" s="18">
        <v>4</v>
      </c>
      <c r="B16" s="19">
        <f>IF(A16&lt;Assumptions!$G$13,0,IF(A16=Assumptions!$G$13,Assumptions!$B$13*Assumptions!$B$6*Assumptions!$B$7,Assumptions!$B$13*Assumptions!$B$6))</f>
        <v>20</v>
      </c>
      <c r="C16" s="20">
        <f>B16*Assumptions!$H$13</f>
        <v>257850</v>
      </c>
      <c r="D16" s="20">
        <f>E15*(Assumptions!$B$8-1)</f>
        <v>85003.862400000071</v>
      </c>
      <c r="E16" s="21">
        <f>E15*Assumptions!$B$8+C16</f>
        <v>1051219.3824</v>
      </c>
    </row>
    <row r="17" spans="1:5" x14ac:dyDescent="0.25">
      <c r="A17" s="18">
        <v>5</v>
      </c>
      <c r="B17" s="19">
        <f>IF(A17&lt;Assumptions!$G$13,0,IF(A17=Assumptions!$G$13,Assumptions!$B$13*Assumptions!$B$6*Assumptions!$B$7,Assumptions!$B$13*Assumptions!$B$6))</f>
        <v>20</v>
      </c>
      <c r="C17" s="20">
        <f>B17*Assumptions!$H$13</f>
        <v>257850</v>
      </c>
      <c r="D17" s="20">
        <f>E16*(Assumptions!$B$8-1)</f>
        <v>126146.32588800011</v>
      </c>
      <c r="E17" s="21">
        <f>E16*Assumptions!$B$8+C17</f>
        <v>1435215.7082880002</v>
      </c>
    </row>
    <row r="19" spans="1:5" x14ac:dyDescent="0.25">
      <c r="A19" s="3" t="s">
        <v>17</v>
      </c>
      <c r="B19" s="3"/>
      <c r="C19" s="3"/>
      <c r="D19" s="3"/>
      <c r="E19" s="3"/>
    </row>
    <row r="20" spans="1:5" x14ac:dyDescent="0.25">
      <c r="A20" s="17" t="s">
        <v>22</v>
      </c>
      <c r="B20" s="17" t="s">
        <v>23</v>
      </c>
      <c r="C20" s="17" t="s">
        <v>24</v>
      </c>
      <c r="D20" s="17" t="s">
        <v>25</v>
      </c>
      <c r="E20" s="17" t="s">
        <v>26</v>
      </c>
    </row>
    <row r="21" spans="1:5" x14ac:dyDescent="0.25">
      <c r="A21" s="18">
        <v>1</v>
      </c>
      <c r="B21" s="19">
        <f>IF(A21&lt;Assumptions!$G$14,0,IF(A21=Assumptions!$G$14,Assumptions!$B$14*Assumptions!$B$6*Assumptions!$B$7,Assumptions!$B$14*Assumptions!$B$6))</f>
        <v>0</v>
      </c>
      <c r="C21" s="20">
        <f>B21*Assumptions!$H$14</f>
        <v>0</v>
      </c>
      <c r="D21" s="20">
        <v>0</v>
      </c>
      <c r="E21" s="21">
        <f>C21</f>
        <v>0</v>
      </c>
    </row>
    <row r="22" spans="1:5" x14ac:dyDescent="0.25">
      <c r="A22" s="18">
        <v>2</v>
      </c>
      <c r="B22" s="19">
        <f>IF(A22&lt;Assumptions!$G$14,0,IF(A22=Assumptions!$G$14,Assumptions!$B$14*Assumptions!$B$6*Assumptions!$B$7,Assumptions!$B$14*Assumptions!$B$6))</f>
        <v>24</v>
      </c>
      <c r="C22" s="20">
        <f>B22*Assumptions!$H$14</f>
        <v>1897200</v>
      </c>
      <c r="D22" s="20">
        <f>E21*(Assumptions!$B$8-1)</f>
        <v>0</v>
      </c>
      <c r="E22" s="21">
        <f>E21*Assumptions!$B$8+C22</f>
        <v>1897200</v>
      </c>
    </row>
    <row r="23" spans="1:5" x14ac:dyDescent="0.25">
      <c r="A23" s="18">
        <v>3</v>
      </c>
      <c r="B23" s="19">
        <f>IF(A23&lt;Assumptions!$G$14,0,IF(A23=Assumptions!$G$14,Assumptions!$B$14*Assumptions!$B$6*Assumptions!$B$7,Assumptions!$B$14*Assumptions!$B$6))</f>
        <v>48</v>
      </c>
      <c r="C23" s="20">
        <f>B23*Assumptions!$H$14</f>
        <v>3794400</v>
      </c>
      <c r="D23" s="20">
        <f>E22*(Assumptions!$B$8-1)</f>
        <v>227664.0000000002</v>
      </c>
      <c r="E23" s="21">
        <f>E22*Assumptions!$B$8+C23</f>
        <v>5919264</v>
      </c>
    </row>
    <row r="24" spans="1:5" x14ac:dyDescent="0.25">
      <c r="A24" s="18">
        <v>4</v>
      </c>
      <c r="B24" s="19">
        <f>IF(A24&lt;Assumptions!$G$14,0,IF(A24=Assumptions!$G$14,Assumptions!$B$14*Assumptions!$B$6*Assumptions!$B$7,Assumptions!$B$14*Assumptions!$B$6))</f>
        <v>48</v>
      </c>
      <c r="C24" s="20">
        <f>B24*Assumptions!$H$14</f>
        <v>3794400</v>
      </c>
      <c r="D24" s="20">
        <f>E23*(Assumptions!$B$8-1)</f>
        <v>710311.68000000063</v>
      </c>
      <c r="E24" s="21">
        <f>E23*Assumptions!$B$8+C24</f>
        <v>10423975.68</v>
      </c>
    </row>
    <row r="25" spans="1:5" x14ac:dyDescent="0.25">
      <c r="A25" s="18">
        <v>5</v>
      </c>
      <c r="B25" s="19">
        <f>IF(A25&lt;Assumptions!$G$14,0,IF(A25=Assumptions!$G$14,Assumptions!$B$14*Assumptions!$B$6*Assumptions!$B$7,Assumptions!$B$14*Assumptions!$B$6))</f>
        <v>48</v>
      </c>
      <c r="C25" s="20">
        <f>B25*Assumptions!$H$14</f>
        <v>3794400</v>
      </c>
      <c r="D25" s="20">
        <f>E24*(Assumptions!$B$8-1)</f>
        <v>1250877.0816000011</v>
      </c>
      <c r="E25" s="21">
        <f>E24*Assumptions!$B$8+C25</f>
        <v>15469252.761600001</v>
      </c>
    </row>
    <row r="27" spans="1:5" x14ac:dyDescent="0.25">
      <c r="A27" s="3" t="s">
        <v>18</v>
      </c>
      <c r="B27" s="3"/>
      <c r="C27" s="3"/>
      <c r="D27" s="3"/>
      <c r="E27" s="3"/>
    </row>
    <row r="28" spans="1:5" x14ac:dyDescent="0.25">
      <c r="A28" s="17" t="s">
        <v>22</v>
      </c>
      <c r="B28" s="17" t="s">
        <v>23</v>
      </c>
      <c r="C28" s="17" t="s">
        <v>24</v>
      </c>
      <c r="D28" s="17" t="s">
        <v>25</v>
      </c>
      <c r="E28" s="17" t="s">
        <v>26</v>
      </c>
    </row>
    <row r="29" spans="1:5" x14ac:dyDescent="0.25">
      <c r="A29" s="18">
        <v>1</v>
      </c>
      <c r="B29" s="19">
        <f>IF(A29&lt;Assumptions!$G$15,0,IF(A29=Assumptions!$G$15,Assumptions!$B$15*Assumptions!$B$6*Assumptions!$B$7,Assumptions!$B$15*Assumptions!$B$6))</f>
        <v>0</v>
      </c>
      <c r="C29" s="20">
        <f>B29*Assumptions!$H$15</f>
        <v>0</v>
      </c>
      <c r="D29" s="20">
        <v>0</v>
      </c>
      <c r="E29" s="21">
        <f>C29</f>
        <v>0</v>
      </c>
    </row>
    <row r="30" spans="1:5" x14ac:dyDescent="0.25">
      <c r="A30" s="18">
        <v>2</v>
      </c>
      <c r="B30" s="19">
        <f>IF(A30&lt;Assumptions!$G$15,0,IF(A30=Assumptions!$G$15,Assumptions!$B$15*Assumptions!$B$6*Assumptions!$B$7,Assumptions!$B$15*Assumptions!$B$6))</f>
        <v>0</v>
      </c>
      <c r="C30" s="20">
        <f>B30*Assumptions!$H$15</f>
        <v>0</v>
      </c>
      <c r="D30" s="20">
        <f>E29*(Assumptions!$B$8-1)</f>
        <v>0</v>
      </c>
      <c r="E30" s="21">
        <f>E29*Assumptions!$B$8+C30</f>
        <v>0</v>
      </c>
    </row>
    <row r="31" spans="1:5" x14ac:dyDescent="0.25">
      <c r="A31" s="18">
        <v>3</v>
      </c>
      <c r="B31" s="19">
        <f>IF(A31&lt;Assumptions!$G$15,0,IF(A31=Assumptions!$G$15,Assumptions!$B$15*Assumptions!$B$6*Assumptions!$B$7,Assumptions!$B$15*Assumptions!$B$6))</f>
        <v>18</v>
      </c>
      <c r="C31" s="20">
        <f>B31*Assumptions!$H$15</f>
        <v>1121040</v>
      </c>
      <c r="D31" s="20">
        <f>E30*(Assumptions!$B$8-1)</f>
        <v>0</v>
      </c>
      <c r="E31" s="21">
        <f>E30*Assumptions!$B$8+C31</f>
        <v>1121040</v>
      </c>
    </row>
    <row r="32" spans="1:5" x14ac:dyDescent="0.25">
      <c r="A32" s="18">
        <v>4</v>
      </c>
      <c r="B32" s="19">
        <f>IF(A32&lt;Assumptions!$G$15,0,IF(A32=Assumptions!$G$15,Assumptions!$B$15*Assumptions!$B$6*Assumptions!$B$7,Assumptions!$B$15*Assumptions!$B$6))</f>
        <v>36</v>
      </c>
      <c r="C32" s="20">
        <f>B32*Assumptions!$H$15</f>
        <v>2242080</v>
      </c>
      <c r="D32" s="20">
        <f>E31*(Assumptions!$B$8-1)</f>
        <v>134524.80000000013</v>
      </c>
      <c r="E32" s="21">
        <f>E31*Assumptions!$B$8+C32</f>
        <v>3497644.8</v>
      </c>
    </row>
    <row r="33" spans="1:5" x14ac:dyDescent="0.25">
      <c r="A33" s="18">
        <v>5</v>
      </c>
      <c r="B33" s="19">
        <f>IF(A33&lt;Assumptions!$G$15,0,IF(A33=Assumptions!$G$15,Assumptions!$B$15*Assumptions!$B$6*Assumptions!$B$7,Assumptions!$B$15*Assumptions!$B$6))</f>
        <v>36</v>
      </c>
      <c r="C33" s="20">
        <f>B33*Assumptions!$H$15</f>
        <v>2242080</v>
      </c>
      <c r="D33" s="20">
        <f>E32*(Assumptions!$B$8-1)</f>
        <v>419717.37600000034</v>
      </c>
      <c r="E33" s="21">
        <f>E32*Assumptions!$B$8+C33</f>
        <v>6159442.176</v>
      </c>
    </row>
    <row r="35" spans="1:5" x14ac:dyDescent="0.25">
      <c r="A35" s="3" t="s">
        <v>19</v>
      </c>
      <c r="B35" s="3"/>
      <c r="C35" s="3"/>
      <c r="D35" s="3"/>
      <c r="E35" s="3"/>
    </row>
    <row r="36" spans="1:5" x14ac:dyDescent="0.25">
      <c r="A36" s="17" t="s">
        <v>22</v>
      </c>
      <c r="B36" s="17" t="s">
        <v>23</v>
      </c>
      <c r="C36" s="17" t="s">
        <v>24</v>
      </c>
      <c r="D36" s="17" t="s">
        <v>25</v>
      </c>
      <c r="E36" s="17" t="s">
        <v>26</v>
      </c>
    </row>
    <row r="37" spans="1:5" x14ac:dyDescent="0.25">
      <c r="A37" s="18">
        <v>1</v>
      </c>
      <c r="B37" s="19">
        <f>IF(A37&lt;Assumptions!$G$16,0,IF(A37=Assumptions!$G$16,Assumptions!$B$16*Assumptions!$B$6*Assumptions!$B$7,Assumptions!$B$16*Assumptions!$B$6))</f>
        <v>0</v>
      </c>
      <c r="C37" s="20">
        <f>B37*Assumptions!$H$16</f>
        <v>0</v>
      </c>
      <c r="D37" s="20">
        <v>0</v>
      </c>
      <c r="E37" s="21">
        <f>C37</f>
        <v>0</v>
      </c>
    </row>
    <row r="38" spans="1:5" x14ac:dyDescent="0.25">
      <c r="A38" s="18">
        <v>2</v>
      </c>
      <c r="B38" s="19">
        <f>IF(A38&lt;Assumptions!$G$16,0,IF(A38=Assumptions!$G$16,Assumptions!$B$16*Assumptions!$B$6*Assumptions!$B$7,Assumptions!$B$16*Assumptions!$B$6))</f>
        <v>0</v>
      </c>
      <c r="C38" s="20">
        <f>B38*Assumptions!$H$16</f>
        <v>0</v>
      </c>
      <c r="D38" s="20">
        <f>E37*(Assumptions!$B$8-1)</f>
        <v>0</v>
      </c>
      <c r="E38" s="21">
        <f>E37*Assumptions!$B$8+C38</f>
        <v>0</v>
      </c>
    </row>
    <row r="39" spans="1:5" x14ac:dyDescent="0.25">
      <c r="A39" s="18">
        <v>3</v>
      </c>
      <c r="B39" s="19">
        <f>IF(A39&lt;Assumptions!$G$16,0,IF(A39=Assumptions!$G$16,Assumptions!$B$16*Assumptions!$B$6*Assumptions!$B$7,Assumptions!$B$16*Assumptions!$B$6))</f>
        <v>10</v>
      </c>
      <c r="C39" s="20">
        <f>B39*Assumptions!$H$16</f>
        <v>567440</v>
      </c>
      <c r="D39" s="20">
        <f>E38*(Assumptions!$B$8-1)</f>
        <v>0</v>
      </c>
      <c r="E39" s="21">
        <f>E38*Assumptions!$B$8+C39</f>
        <v>567440</v>
      </c>
    </row>
    <row r="40" spans="1:5" x14ac:dyDescent="0.25">
      <c r="A40" s="18">
        <v>4</v>
      </c>
      <c r="B40" s="19">
        <f>IF(A40&lt;Assumptions!$G$16,0,IF(A40=Assumptions!$G$16,Assumptions!$B$16*Assumptions!$B$6*Assumptions!$B$7,Assumptions!$B$16*Assumptions!$B$6))</f>
        <v>20</v>
      </c>
      <c r="C40" s="20">
        <f>B40*Assumptions!$H$16</f>
        <v>1134880</v>
      </c>
      <c r="D40" s="20">
        <f>E39*(Assumptions!$B$8-1)</f>
        <v>68092.800000000061</v>
      </c>
      <c r="E40" s="21">
        <f>E39*Assumptions!$B$8+C40</f>
        <v>1770412.8</v>
      </c>
    </row>
    <row r="41" spans="1:5" x14ac:dyDescent="0.25">
      <c r="A41" s="18">
        <v>5</v>
      </c>
      <c r="B41" s="19">
        <f>IF(A41&lt;Assumptions!$G$16,0,IF(A41=Assumptions!$G$16,Assumptions!$B$16*Assumptions!$B$6*Assumptions!$B$7,Assumptions!$B$16*Assumptions!$B$6))</f>
        <v>20</v>
      </c>
      <c r="C41" s="20">
        <f>B41*Assumptions!$H$16</f>
        <v>1134880</v>
      </c>
      <c r="D41" s="20">
        <f>E40*(Assumptions!$B$8-1)</f>
        <v>212449.5360000002</v>
      </c>
      <c r="E41" s="21">
        <f>E40*Assumptions!$B$8+C41</f>
        <v>3117742.3360000001</v>
      </c>
    </row>
    <row r="44" spans="1:5" x14ac:dyDescent="0.25">
      <c r="A44" s="2" t="s">
        <v>27</v>
      </c>
      <c r="B44" s="2"/>
      <c r="C44" s="2"/>
      <c r="D44" s="2"/>
      <c r="E44" s="2"/>
    </row>
    <row r="45" spans="1:5" x14ac:dyDescent="0.25">
      <c r="A45" s="17" t="s">
        <v>22</v>
      </c>
      <c r="E45" s="17" t="s">
        <v>28</v>
      </c>
    </row>
    <row r="46" spans="1:5" x14ac:dyDescent="0.25">
      <c r="A46" s="22">
        <v>1</v>
      </c>
      <c r="E46" s="23">
        <f>E5+E13+E21+E29+E37</f>
        <v>291505</v>
      </c>
    </row>
    <row r="47" spans="1:5" x14ac:dyDescent="0.25">
      <c r="A47" s="22">
        <v>2</v>
      </c>
      <c r="E47" s="23">
        <f>E6+E14+E22+E30+E38</f>
        <v>2806695.6</v>
      </c>
    </row>
    <row r="48" spans="1:5" x14ac:dyDescent="0.25">
      <c r="A48" s="22">
        <v>3</v>
      </c>
      <c r="E48" s="23">
        <f>E7+E15+E23+E31+E39</f>
        <v>9209389.0720000006</v>
      </c>
    </row>
    <row r="49" spans="1:5" x14ac:dyDescent="0.25">
      <c r="A49" s="22">
        <v>4</v>
      </c>
      <c r="E49" s="23">
        <f>E8+E16+E24+E32+E40</f>
        <v>18068885.760639999</v>
      </c>
    </row>
    <row r="50" spans="1:5" x14ac:dyDescent="0.25">
      <c r="A50" s="22">
        <v>5</v>
      </c>
      <c r="E50" s="23">
        <f>E9+E17+E25+E33+E41</f>
        <v>27991522.0519168</v>
      </c>
    </row>
    <row r="52" spans="1:5" x14ac:dyDescent="0.25">
      <c r="A52" s="24" t="s">
        <v>29</v>
      </c>
    </row>
    <row r="53" spans="1:5" x14ac:dyDescent="0.25">
      <c r="A53" s="7" t="s">
        <v>30</v>
      </c>
      <c r="E53" s="25">
        <f>E48</f>
        <v>9209389.0720000006</v>
      </c>
    </row>
    <row r="54" spans="1:5" x14ac:dyDescent="0.25">
      <c r="A54" s="7" t="s">
        <v>31</v>
      </c>
      <c r="E54" s="25">
        <f>E50</f>
        <v>27991522.0519168</v>
      </c>
    </row>
    <row r="55" spans="1:5" x14ac:dyDescent="0.25">
      <c r="A55" s="7" t="s">
        <v>32</v>
      </c>
      <c r="E55" s="25">
        <f>C5+C6+C7+C13+C14+C15+C21+C22+C23+C29+C30+C31+C37+C38+C39</f>
        <v>8837605</v>
      </c>
    </row>
    <row r="57" spans="1:5" x14ac:dyDescent="0.25">
      <c r="A57" s="1" t="s">
        <v>33</v>
      </c>
      <c r="B57" s="1"/>
      <c r="C57" s="1"/>
      <c r="D57" s="1"/>
      <c r="E57" s="1"/>
    </row>
  </sheetData>
  <mergeCells count="8">
    <mergeCell ref="A35:E35"/>
    <mergeCell ref="A44:E44"/>
    <mergeCell ref="A57:E57"/>
    <mergeCell ref="A1:E1"/>
    <mergeCell ref="A3:E3"/>
    <mergeCell ref="A11:E11"/>
    <mergeCell ref="A19:E19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ARR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Shreshtha</dc:creator>
  <dc:description/>
  <cp:lastModifiedBy>Shreshtha Rawat</cp:lastModifiedBy>
  <cp:revision>0</cp:revision>
  <dcterms:created xsi:type="dcterms:W3CDTF">2026-06-20T20:02:06Z</dcterms:created>
  <dcterms:modified xsi:type="dcterms:W3CDTF">2026-06-21T18:05:03Z</dcterms:modified>
  <dc:language>en-US</dc:language>
</cp:coreProperties>
</file>